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zartarifehesap\"/>
    </mc:Choice>
  </mc:AlternateContent>
  <xr:revisionPtr revIDLastSave="0" documentId="13_ncr:1_{458AF270-D2BC-41FB-A072-EBD2ED20F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" sheetId="1" r:id="rId1"/>
    <sheet name="Uygula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D20" i="2"/>
  <c r="D19" i="2"/>
  <c r="D18" i="2"/>
  <c r="D17" i="2"/>
  <c r="D16" i="2"/>
  <c r="D15" i="2"/>
  <c r="D12" i="2"/>
  <c r="D11" i="2"/>
  <c r="F10" i="2"/>
  <c r="D10" i="2"/>
  <c r="F9" i="2"/>
  <c r="D9" i="2"/>
  <c r="F8" i="2"/>
  <c r="D8" i="2"/>
  <c r="F7" i="2"/>
  <c r="D7" i="2"/>
  <c r="D3" i="2"/>
  <c r="D14" i="1"/>
  <c r="D6" i="2" s="1"/>
  <c r="D5" i="2"/>
  <c r="D4" i="2"/>
  <c r="D11" i="1"/>
  <c r="E3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<sst xmlns="http://schemas.openxmlformats.org/spreadsheetml/2006/main" count="167" uniqueCount="44">
  <si>
    <t>Ekonomik</t>
  </si>
  <si>
    <t>Standart</t>
  </si>
  <si>
    <t>Lüxe</t>
  </si>
  <si>
    <t>MEKKE ODA FİYATI</t>
  </si>
  <si>
    <t>MEKKE YEMEK</t>
  </si>
  <si>
    <t>MEDİNE ODA FİYATI</t>
  </si>
  <si>
    <t>MEDİNE YEMEK</t>
  </si>
  <si>
    <t>USD</t>
  </si>
  <si>
    <t>Kar</t>
  </si>
  <si>
    <t>CİDDE- MEKKE OTEL YOL</t>
  </si>
  <si>
    <t>MEKKE-MEDİNE TRANSFER</t>
  </si>
  <si>
    <t>MEDİNE HAVAALANI</t>
  </si>
  <si>
    <t>CİDDE- MEKKE OTEL YOL-BÜYÜK</t>
  </si>
  <si>
    <t>MEKKE-MEDİNE TRANSFER-BÜYÜK</t>
  </si>
  <si>
    <t>MEDİNE HAVAALANI-BÜYÜK</t>
  </si>
  <si>
    <t>UÇAK BİLETİ</t>
  </si>
  <si>
    <t>VİZE + vergi</t>
  </si>
  <si>
    <t>SİGORTA</t>
  </si>
  <si>
    <t>ÇANTA</t>
  </si>
  <si>
    <t>FULAR/eşarp</t>
  </si>
  <si>
    <t>FRİ/GÖREVLİ</t>
  </si>
  <si>
    <t xml:space="preserve">KOMİSYON </t>
  </si>
  <si>
    <t>PRİM</t>
  </si>
  <si>
    <t>ZEMZEM</t>
  </si>
  <si>
    <t>ŞUBE GİDERLERİ</t>
  </si>
  <si>
    <t>SEYAHAT TİPİ</t>
  </si>
  <si>
    <t>MEKKE GÜN SAYISI</t>
  </si>
  <si>
    <t>MEDİNE  GÜN SAYISI</t>
  </si>
  <si>
    <t>SABİT GİDERLER</t>
  </si>
  <si>
    <t>Hayır</t>
  </si>
  <si>
    <t>ÜMRE TEKLİF HESAPLAMA</t>
  </si>
  <si>
    <t>KİŞİ BAŞI TEKLİF</t>
  </si>
  <si>
    <t>SEÇİM ÖZETİ</t>
  </si>
  <si>
    <t>Paket</t>
  </si>
  <si>
    <t>Mekke</t>
  </si>
  <si>
    <t>Medine</t>
  </si>
  <si>
    <t>Toplam Gün</t>
  </si>
  <si>
    <t>DAHİL?</t>
  </si>
  <si>
    <t>Kullanım: C sütunundaki açık renkli alanları seçin veya doldurun. Transferde 0 = kullanılmıyor; sayı girildiğinde araç maliyeti kişi sayısına bölünür. Teklif, kur ve kâr oranı dahil kişi başı USD satış fiyatıdır.</t>
  </si>
  <si>
    <t>STANDART</t>
  </si>
  <si>
    <t>EKONOMİK</t>
  </si>
  <si>
    <t>LÜXE</t>
  </si>
  <si>
    <t>MEKKE ODA KAÇ KİŞİLİK</t>
  </si>
  <si>
    <t>MEDİNE ODA KAÇ KİŞİLİK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</si>
</sst>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-* #,##0.00_-;\-* #,##0.00_-;_-* \-??_-;_-@_-"/>
    <numFmt numFmtId="166" formatCode="0.0"/>
    <numFmt numFmtId="167" formatCode="#,##0\ &quot;USD&quot;"/>
  </numFmts>
  <fonts count="30" x14ac:knownFonts="1">
    <font>
      <sz val="11"/>
      <color theme="1"/>
      <name val="Calibri"/>
    </font>
    <font>
      <sz val="10"/>
      <name val="Arial"/>
      <family val="2"/>
      <charset val="162"/>
    </font>
    <font>
      <sz val="11"/>
      <color theme="1"/>
      <name val="Calibri"/>
      <family val="2"/>
      <charset val="162"/>
    </font>
    <font>
      <sz val="12"/>
      <name val="Arial"/>
      <family val="2"/>
      <charset val="162"/>
    </font>
    <font>
      <sz val="11"/>
      <name val="Calibri"/>
      <family val="2"/>
      <charset val="162"/>
    </font>
    <font>
      <sz val="11"/>
      <color rgb="FF1E2933"/>
      <name val="Calibri"/>
      <family val="2"/>
      <charset val="162"/>
    </font>
    <font>
      <sz val="11"/>
      <color rgb="FF1E2933"/>
      <name val="Arial"/>
      <family val="2"/>
      <charset val="162"/>
    </font>
    <font>
      <b/>
      <sz val="17"/>
      <color rgb="FFFFFFFF"/>
      <name val="Calibri"/>
      <family val="2"/>
      <charset val="162"/>
    </font>
    <font>
      <b/>
      <sz val="10"/>
      <color rgb="FF1E2933"/>
      <name val="Arial"/>
      <family val="2"/>
      <charset val="162"/>
    </font>
    <font>
      <b/>
      <sz val="11"/>
      <color rgb="FF1E2933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i/>
      <sz val="11"/>
      <color rgb="FFFFFFFF"/>
      <name val="Arial"/>
      <family val="2"/>
      <charset val="162"/>
    </font>
    <font>
      <b/>
      <sz val="11"/>
      <color rgb="FFFFFFFF"/>
      <name val="Calibri"/>
      <family val="2"/>
      <charset val="162"/>
    </font>
    <font>
      <b/>
      <i/>
      <sz val="22"/>
      <color rgb="FFFFFFFF"/>
      <name val="Arial"/>
      <family val="2"/>
      <charset val="162"/>
    </font>
    <font>
      <b/>
      <sz val="22"/>
      <color rgb="FFFFFFFF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9"/>
      <color rgb="FF667788"/>
      <name val="Calibri"/>
      <family val="2"/>
      <charset val="162"/>
    </font>
    <font>
      <b/>
      <sz val="8"/>
      <color rgb="FFFFFFFF"/>
      <name val="Calibri"/>
      <family val="2"/>
      <charset val="162"/>
    </font>
    <font>
      <sz val="8"/>
      <color rgb="FFFFFFFF"/>
      <name val="Calibri"/>
      <family val="2"/>
      <charset val="162"/>
    </font>
    <font>
      <sz val="8"/>
      <color rgb="FFFFFFFF"/>
      <name val="Arial"/>
      <family val="2"/>
      <charset val="162"/>
    </font>
    <font>
      <i/>
      <sz val="8"/>
      <color rgb="FFFFFFFF"/>
      <name val="Calibri"/>
      <family val="2"/>
      <charset val="162"/>
    </font>
    <font>
      <b/>
      <i/>
      <sz val="12"/>
      <color rgb="FF1E2933"/>
      <name val="Calibri"/>
      <family val="2"/>
      <charset val="162"/>
    </font>
    <font>
      <b/>
      <i/>
      <sz val="12"/>
      <color rgb="FFFF0000"/>
      <name val="Calibri"/>
      <family val="2"/>
      <charset val="162"/>
    </font>
    <font>
      <sz val="14"/>
      <name val="Arial"/>
      <family val="2"/>
      <charset val="162"/>
    </font>
    <font>
      <b/>
      <sz val="14"/>
      <name val="Arial"/>
      <family val="2"/>
      <charset val="162"/>
    </font>
    <font>
      <b/>
      <sz val="14"/>
      <color rgb="FF1E2933"/>
      <name val="Arial"/>
      <family val="2"/>
      <charset val="162"/>
    </font>
    <font>
      <b/>
      <sz val="14"/>
      <color rgb="FF1E2933"/>
      <name val="Calibri"/>
      <family val="2"/>
      <charset val="162"/>
    </font>
    <font>
      <b/>
      <sz val="20"/>
      <name val="Arial"/>
      <family val="2"/>
      <charset val="162"/>
    </font>
    <font>
      <sz val="20"/>
      <name val="Arial"/>
      <family val="2"/>
      <charset val="162"/>
    </font>
    <font>
      <b/>
      <sz val="20"/>
      <color rgb="FFC00000"/>
      <name val="Arial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rgb="FF17324D"/>
      </patternFill>
    </fill>
    <fill>
      <patternFill patternType="solid">
        <fgColor rgb="FFEEF4F8"/>
      </patternFill>
    </fill>
    <fill>
      <patternFill patternType="solid">
        <fgColor rgb="FFEAF3F8"/>
      </patternFill>
    </fill>
    <fill>
      <patternFill patternType="solid">
        <fgColor rgb="FFF6F8FA"/>
      </patternFill>
    </fill>
    <fill>
      <patternFill patternType="solid">
        <fgColor rgb="FFFFF6D8"/>
      </patternFill>
    </fill>
    <fill>
      <patternFill patternType="solid">
        <fgColor rgb="FF244C6A"/>
      </patternFill>
    </fill>
    <fill>
      <patternFill patternType="solid">
        <fgColor rgb="FFC59A45"/>
      </patternFill>
    </fill>
    <fill>
      <patternFill patternType="solid">
        <fgColor rgb="FFF3F5F7"/>
      </patternFill>
    </fill>
    <fill>
      <patternFill patternType="solid">
        <fgColor rgb="FFFFFFFF"/>
      </patternFill>
    </fill>
    <fill>
      <patternFill patternType="solid">
        <fgColor rgb="FF244C6A"/>
      </patternFill>
    </fill>
    <fill>
      <patternFill patternType="solid">
        <fgColor rgb="FFEEF4F8"/>
      </patternFill>
    </fill>
    <fill>
      <patternFill patternType="solid">
        <fgColor rgb="FFEAF5E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4" fontId="2" fillId="0" borderId="0"/>
    <xf numFmtId="9" fontId="2" fillId="0" borderId="0"/>
  </cellStyleXfs>
  <cellXfs count="55">
    <xf numFmtId="0" fontId="0" fillId="0" borderId="0" xfId="0"/>
    <xf numFmtId="165" fontId="1" fillId="0" borderId="0" xfId="1" applyNumberFormat="1" applyFont="1"/>
    <xf numFmtId="165" fontId="1" fillId="2" borderId="1" xfId="1" applyNumberFormat="1" applyFont="1" applyFill="1" applyBorder="1"/>
    <xf numFmtId="0" fontId="4" fillId="0" borderId="1" xfId="0" applyFont="1" applyBorder="1"/>
    <xf numFmtId="165" fontId="1" fillId="0" borderId="1" xfId="1" applyNumberFormat="1" applyFont="1" applyBorder="1"/>
    <xf numFmtId="165" fontId="1" fillId="0" borderId="5" xfId="1" applyNumberFormat="1" applyFont="1" applyBorder="1"/>
    <xf numFmtId="165" fontId="23" fillId="16" borderId="1" xfId="1" applyNumberFormat="1" applyFont="1" applyFill="1" applyBorder="1"/>
    <xf numFmtId="165" fontId="24" fillId="17" borderId="1" xfId="1" applyNumberFormat="1" applyFont="1" applyFill="1" applyBorder="1"/>
    <xf numFmtId="165" fontId="24" fillId="17" borderId="1" xfId="1" applyNumberFormat="1" applyFont="1" applyFill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5" fontId="24" fillId="18" borderId="1" xfId="1" applyNumberFormat="1" applyFont="1" applyFill="1" applyBorder="1"/>
    <xf numFmtId="165" fontId="24" fillId="18" borderId="1" xfId="1" applyNumberFormat="1" applyFont="1" applyFill="1" applyBorder="1" applyAlignment="1">
      <alignment horizontal="center" vertical="center"/>
    </xf>
    <xf numFmtId="165" fontId="24" fillId="19" borderId="1" xfId="1" applyNumberFormat="1" applyFont="1" applyFill="1" applyBorder="1"/>
    <xf numFmtId="165" fontId="24" fillId="19" borderId="1" xfId="1" applyNumberFormat="1" applyFont="1" applyFill="1" applyBorder="1" applyAlignment="1">
      <alignment horizontal="center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18" fillId="11" borderId="0" xfId="0" applyFont="1" applyFill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9" fillId="7" borderId="7" xfId="0" applyFont="1" applyFill="1" applyBorder="1" applyAlignment="1" applyProtection="1">
      <alignment horizontal="center" vertical="center" wrapText="1"/>
      <protection locked="0"/>
    </xf>
    <xf numFmtId="0" fontId="9" fillId="7" borderId="4" xfId="0" applyFont="1" applyFill="1" applyBorder="1" applyAlignment="1" applyProtection="1">
      <alignment horizontal="center" vertical="center" wrapText="1"/>
      <protection locked="0"/>
    </xf>
    <xf numFmtId="0" fontId="9" fillId="7" borderId="9" xfId="0" applyFont="1" applyFill="1" applyBorder="1" applyAlignment="1" applyProtection="1">
      <alignment horizontal="center" vertical="center" wrapText="1"/>
      <protection locked="0"/>
    </xf>
    <xf numFmtId="165" fontId="6" fillId="0" borderId="0" xfId="0" applyNumberFormat="1" applyFont="1" applyAlignment="1" applyProtection="1">
      <alignment vertical="center" wrapText="1"/>
      <protection locked="0"/>
    </xf>
    <xf numFmtId="165" fontId="3" fillId="0" borderId="0" xfId="0" applyNumberFormat="1" applyFont="1" applyProtection="1"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10" fillId="8" borderId="2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>
      <alignment vertical="center" wrapText="1"/>
    </xf>
    <xf numFmtId="0" fontId="18" fillId="11" borderId="0" xfId="0" applyFont="1" applyFill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165" fontId="19" fillId="11" borderId="0" xfId="0" applyNumberFormat="1" applyFont="1" applyFill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65" fontId="25" fillId="13" borderId="1" xfId="0" applyNumberFormat="1" applyFont="1" applyFill="1" applyBorder="1" applyAlignment="1">
      <alignment vertical="center" wrapText="1"/>
    </xf>
    <xf numFmtId="2" fontId="21" fillId="14" borderId="1" xfId="0" applyNumberFormat="1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vertical="center" wrapText="1"/>
    </xf>
    <xf numFmtId="9" fontId="21" fillId="14" borderId="1" xfId="0" applyNumberFormat="1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left" vertical="center" wrapText="1"/>
    </xf>
    <xf numFmtId="166" fontId="22" fillId="14" borderId="1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vertical="center" wrapText="1"/>
    </xf>
    <xf numFmtId="165" fontId="27" fillId="15" borderId="0" xfId="1" applyNumberFormat="1" applyFont="1" applyFill="1" applyAlignment="1">
      <alignment horizontal="center" vertical="center"/>
    </xf>
    <xf numFmtId="165" fontId="28" fillId="0" borderId="1" xfId="1" applyNumberFormat="1" applyFont="1" applyBorder="1"/>
    <xf numFmtId="165" fontId="27" fillId="0" borderId="1" xfId="1" applyNumberFormat="1" applyFont="1" applyBorder="1"/>
    <xf numFmtId="165" fontId="27" fillId="20" borderId="1" xfId="1" applyNumberFormat="1" applyFont="1" applyFill="1" applyBorder="1"/>
    <xf numFmtId="9" fontId="29" fillId="20" borderId="1" xfId="2" applyFont="1" applyFill="1" applyBorder="1"/>
    <xf numFmtId="0" fontId="7" fillId="3" borderId="0" xfId="0" applyFont="1" applyFill="1" applyAlignment="1" applyProtection="1">
      <alignment horizontal="center" vertical="center" wrapText="1"/>
      <protection locked="0"/>
    </xf>
    <xf numFmtId="0" fontId="17" fillId="11" borderId="0" xfId="0" applyFont="1" applyFill="1" applyAlignment="1" applyProtection="1">
      <alignment horizontal="center" vertical="center" wrapText="1"/>
      <protection locked="0"/>
    </xf>
    <xf numFmtId="0" fontId="11" fillId="9" borderId="0" xfId="0" applyFont="1" applyFill="1" applyAlignment="1" applyProtection="1">
      <alignment horizontal="center" vertical="center" wrapText="1"/>
      <protection locked="0"/>
    </xf>
    <xf numFmtId="0" fontId="12" fillId="9" borderId="0" xfId="0" applyFont="1" applyFill="1" applyAlignment="1" applyProtection="1">
      <alignment horizontal="center" vertical="center" wrapText="1"/>
      <protection locked="0"/>
    </xf>
    <xf numFmtId="167" fontId="13" fillId="3" borderId="1" xfId="0" applyNumberFormat="1" applyFont="1" applyFill="1" applyBorder="1" applyAlignment="1">
      <alignment horizontal="center" vertical="center" wrapText="1"/>
    </xf>
    <xf numFmtId="167" fontId="14" fillId="3" borderId="0" xfId="0" applyNumberFormat="1" applyFont="1" applyFill="1" applyAlignment="1">
      <alignment horizontal="center" vertical="center" wrapText="1"/>
    </xf>
    <xf numFmtId="0" fontId="16" fillId="10" borderId="0" xfId="0" applyFont="1" applyFill="1" applyAlignment="1" applyProtection="1">
      <alignment horizontal="left" vertical="center" wrapText="1"/>
      <protection locked="0"/>
    </xf>
    <xf numFmtId="0" fontId="20" fillId="11" borderId="0" xfId="0" applyFont="1" applyFill="1" applyAlignment="1" applyProtection="1">
      <alignment horizontal="left" vertical="center" wrapText="1"/>
      <protection locked="0"/>
    </xf>
    <xf numFmtId="0" fontId="15" fillId="12" borderId="0" xfId="0" applyFont="1" applyFill="1" applyAlignment="1" applyProtection="1">
      <alignment horizontal="center" vertical="center" wrapText="1"/>
      <protection locked="0"/>
    </xf>
  </cellXfs>
  <cellStyles count="3">
    <cellStyle name="Normal" xfId="0" builtinId="0"/>
    <cellStyle name="Virgül" xfId="1" xr:uid="{00000000-0005-0000-0000-000001000000}"/>
    <cellStyle name="Yüzde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2"/>
  <sheetViews>
    <sheetView showGridLines="0" tabSelected="1" topLeftCell="A14" zoomScale="120" zoomScaleNormal="120" workbookViewId="0">
      <selection activeCell="F10" sqref="F10"/>
    </sheetView>
  </sheetViews>
  <sheetFormatPr defaultColWidth="8.88671875" defaultRowHeight="13.2" x14ac:dyDescent="0.25"/>
  <cols>
    <col min="1" max="1" width="35.6640625" style="1" customWidth="1"/>
    <col min="2" max="2" width="15.33203125" style="1" bestFit="1" customWidth="1"/>
    <col min="3" max="3" width="38.44140625" style="1" bestFit="1" customWidth="1"/>
    <col min="4" max="4" width="19.5546875" style="1" customWidth="1"/>
    <col min="5" max="5" width="10.21875" style="1" customWidth="1"/>
    <col min="6" max="6" width="9.109375" style="1" customWidth="1"/>
    <col min="7" max="7" width="7.88671875" style="1" customWidth="1"/>
    <col min="8" max="16384" width="8.88671875" style="1"/>
  </cols>
  <sheetData>
    <row r="2" spans="2:7" x14ac:dyDescent="0.25">
      <c r="D2" s="4"/>
      <c r="E2" s="2"/>
      <c r="F2" s="2"/>
      <c r="G2" s="2"/>
    </row>
    <row r="3" spans="2:7" ht="14.25" customHeight="1" x14ac:dyDescent="0.3">
      <c r="D3" s="3"/>
      <c r="E3" s="2"/>
      <c r="F3" s="2"/>
      <c r="G3" s="2"/>
    </row>
    <row r="4" spans="2:7" ht="14.25" customHeight="1" x14ac:dyDescent="0.3">
      <c r="D4" s="3"/>
      <c r="E4" s="2"/>
      <c r="F4" s="2"/>
      <c r="G4" s="2"/>
    </row>
    <row r="5" spans="2:7" ht="14.25" customHeight="1" x14ac:dyDescent="0.3">
      <c r="D5" s="3"/>
      <c r="E5" s="2"/>
      <c r="F5" s="2"/>
      <c r="G5" s="2"/>
    </row>
    <row r="6" spans="2:7" ht="10.5" customHeight="1" x14ac:dyDescent="0.25"/>
    <row r="7" spans="2:7" hidden="1" x14ac:dyDescent="0.25"/>
    <row r="8" spans="2:7" ht="24.6" x14ac:dyDescent="0.4">
      <c r="C8" s="42" t="s">
        <v>7</v>
      </c>
      <c r="D8" s="44">
        <v>3.75</v>
      </c>
    </row>
    <row r="9" spans="2:7" ht="24.6" x14ac:dyDescent="0.4">
      <c r="C9" s="43" t="s">
        <v>8</v>
      </c>
      <c r="D9" s="45">
        <v>0</v>
      </c>
    </row>
    <row r="10" spans="2:7" ht="49.5" customHeight="1" x14ac:dyDescent="0.25">
      <c r="B10" s="5"/>
      <c r="C10" s="41" t="s">
        <v>39</v>
      </c>
    </row>
    <row r="11" spans="2:7" ht="17.399999999999999" x14ac:dyDescent="0.3">
      <c r="B11" s="6" t="s">
        <v>1</v>
      </c>
      <c r="C11" s="7" t="s">
        <v>3</v>
      </c>
      <c r="D11" s="8">
        <f>+$F$2</f>
        <v>0</v>
      </c>
    </row>
    <row r="12" spans="2:7" ht="17.399999999999999" x14ac:dyDescent="0.3">
      <c r="B12" s="6" t="s">
        <v>1</v>
      </c>
      <c r="C12" s="7" t="s">
        <v>4</v>
      </c>
      <c r="D12" s="8">
        <v>40</v>
      </c>
    </row>
    <row r="13" spans="2:7" ht="17.399999999999999" x14ac:dyDescent="0.3">
      <c r="B13" s="6" t="s">
        <v>1</v>
      </c>
      <c r="C13" s="7" t="s">
        <v>5</v>
      </c>
      <c r="D13" s="8">
        <v>500</v>
      </c>
    </row>
    <row r="14" spans="2:7" ht="17.399999999999999" x14ac:dyDescent="0.3">
      <c r="B14" s="6" t="s">
        <v>1</v>
      </c>
      <c r="C14" s="7" t="s">
        <v>6</v>
      </c>
      <c r="D14" s="8">
        <f>+$F$5</f>
        <v>0</v>
      </c>
    </row>
    <row r="15" spans="2:7" ht="17.399999999999999" x14ac:dyDescent="0.3">
      <c r="B15" s="6" t="s">
        <v>1</v>
      </c>
      <c r="C15" s="7" t="s">
        <v>9</v>
      </c>
      <c r="D15" s="8">
        <v>200</v>
      </c>
    </row>
    <row r="16" spans="2:7" ht="17.399999999999999" x14ac:dyDescent="0.3">
      <c r="B16" s="6" t="s">
        <v>1</v>
      </c>
      <c r="C16" s="7" t="s">
        <v>10</v>
      </c>
      <c r="D16" s="8">
        <v>500</v>
      </c>
    </row>
    <row r="17" spans="2:4" ht="17.399999999999999" x14ac:dyDescent="0.3">
      <c r="B17" s="6" t="s">
        <v>1</v>
      </c>
      <c r="C17" s="7" t="s">
        <v>11</v>
      </c>
      <c r="D17" s="8">
        <v>100</v>
      </c>
    </row>
    <row r="18" spans="2:4" x14ac:dyDescent="0.25">
      <c r="B18" s="4" t="s">
        <v>1</v>
      </c>
      <c r="C18" s="4" t="s">
        <v>12</v>
      </c>
      <c r="D18" s="9">
        <v>800</v>
      </c>
    </row>
    <row r="19" spans="2:4" x14ac:dyDescent="0.25">
      <c r="B19" s="4" t="s">
        <v>1</v>
      </c>
      <c r="C19" s="4" t="s">
        <v>13</v>
      </c>
      <c r="D19" s="9">
        <v>800</v>
      </c>
    </row>
    <row r="20" spans="2:4" x14ac:dyDescent="0.25">
      <c r="B20" s="4" t="s">
        <v>1</v>
      </c>
      <c r="C20" s="4" t="s">
        <v>14</v>
      </c>
      <c r="D20" s="9">
        <v>800</v>
      </c>
    </row>
    <row r="21" spans="2:4" x14ac:dyDescent="0.25">
      <c r="B21" s="4" t="s">
        <v>1</v>
      </c>
      <c r="C21" s="4" t="s">
        <v>15</v>
      </c>
      <c r="D21" s="9">
        <v>1500</v>
      </c>
    </row>
    <row r="22" spans="2:4" ht="17.399999999999999" x14ac:dyDescent="0.3">
      <c r="B22" s="6" t="s">
        <v>1</v>
      </c>
      <c r="C22" s="7" t="s">
        <v>16</v>
      </c>
      <c r="D22" s="8">
        <v>500</v>
      </c>
    </row>
    <row r="23" spans="2:4" x14ac:dyDescent="0.25">
      <c r="B23" s="4" t="s">
        <v>1</v>
      </c>
      <c r="C23" s="4" t="s">
        <v>17</v>
      </c>
      <c r="D23" s="9">
        <v>125</v>
      </c>
    </row>
    <row r="24" spans="2:4" x14ac:dyDescent="0.25">
      <c r="B24" s="4" t="s">
        <v>1</v>
      </c>
      <c r="C24" s="4" t="s">
        <v>18</v>
      </c>
      <c r="D24" s="9">
        <v>25</v>
      </c>
    </row>
    <row r="25" spans="2:4" x14ac:dyDescent="0.25">
      <c r="B25" s="4" t="s">
        <v>1</v>
      </c>
      <c r="C25" s="4" t="s">
        <v>19</v>
      </c>
      <c r="D25" s="9">
        <v>15</v>
      </c>
    </row>
    <row r="26" spans="2:4" x14ac:dyDescent="0.25">
      <c r="B26" s="4" t="s">
        <v>1</v>
      </c>
      <c r="C26" s="4" t="s">
        <v>20</v>
      </c>
      <c r="D26" s="9">
        <v>45</v>
      </c>
    </row>
    <row r="27" spans="2:4" x14ac:dyDescent="0.25">
      <c r="B27" s="4" t="s">
        <v>1</v>
      </c>
      <c r="C27" s="4" t="s">
        <v>21</v>
      </c>
      <c r="D27" s="9">
        <v>50</v>
      </c>
    </row>
    <row r="28" spans="2:4" x14ac:dyDescent="0.25">
      <c r="B28" s="4" t="s">
        <v>1</v>
      </c>
      <c r="C28" s="4" t="s">
        <v>22</v>
      </c>
      <c r="D28" s="9">
        <v>25</v>
      </c>
    </row>
    <row r="29" spans="2:4" x14ac:dyDescent="0.25">
      <c r="B29" s="4" t="s">
        <v>1</v>
      </c>
      <c r="C29" s="4" t="s">
        <v>23</v>
      </c>
      <c r="D29" s="9">
        <v>125</v>
      </c>
    </row>
    <row r="30" spans="2:4" ht="17.399999999999999" x14ac:dyDescent="0.3">
      <c r="B30" s="6" t="s">
        <v>1</v>
      </c>
      <c r="C30" s="7" t="s">
        <v>24</v>
      </c>
      <c r="D30" s="8">
        <v>0</v>
      </c>
    </row>
    <row r="31" spans="2:4" ht="46.95" customHeight="1" x14ac:dyDescent="0.25">
      <c r="B31" s="5"/>
      <c r="C31" s="41" t="s">
        <v>40</v>
      </c>
    </row>
    <row r="32" spans="2:4" ht="17.399999999999999" x14ac:dyDescent="0.3">
      <c r="B32" s="10" t="s">
        <v>0</v>
      </c>
      <c r="C32" s="10" t="s">
        <v>3</v>
      </c>
      <c r="D32" s="11">
        <v>55</v>
      </c>
    </row>
    <row r="33" spans="2:4" ht="17.399999999999999" x14ac:dyDescent="0.3">
      <c r="B33" s="10" t="s">
        <v>0</v>
      </c>
      <c r="C33" s="10" t="s">
        <v>4</v>
      </c>
      <c r="D33" s="11">
        <v>35</v>
      </c>
    </row>
    <row r="34" spans="2:4" ht="17.399999999999999" x14ac:dyDescent="0.3">
      <c r="B34" s="10" t="s">
        <v>0</v>
      </c>
      <c r="C34" s="10" t="s">
        <v>5</v>
      </c>
      <c r="D34" s="11">
        <v>400</v>
      </c>
    </row>
    <row r="35" spans="2:4" ht="17.399999999999999" x14ac:dyDescent="0.3">
      <c r="B35" s="10" t="s">
        <v>0</v>
      </c>
      <c r="C35" s="10" t="s">
        <v>6</v>
      </c>
      <c r="D35" s="11">
        <v>45</v>
      </c>
    </row>
    <row r="36" spans="2:4" ht="17.399999999999999" x14ac:dyDescent="0.3">
      <c r="B36" s="10" t="s">
        <v>0</v>
      </c>
      <c r="C36" s="10" t="s">
        <v>9</v>
      </c>
      <c r="D36" s="11">
        <v>200</v>
      </c>
    </row>
    <row r="37" spans="2:4" ht="17.399999999999999" x14ac:dyDescent="0.3">
      <c r="B37" s="10" t="s">
        <v>0</v>
      </c>
      <c r="C37" s="10" t="s">
        <v>10</v>
      </c>
      <c r="D37" s="11">
        <v>500</v>
      </c>
    </row>
    <row r="38" spans="2:4" ht="17.399999999999999" x14ac:dyDescent="0.3">
      <c r="B38" s="10" t="s">
        <v>0</v>
      </c>
      <c r="C38" s="10" t="s">
        <v>11</v>
      </c>
      <c r="D38" s="11">
        <v>100</v>
      </c>
    </row>
    <row r="39" spans="2:4" x14ac:dyDescent="0.25">
      <c r="B39" s="4" t="s">
        <v>0</v>
      </c>
      <c r="C39" s="4" t="s">
        <v>12</v>
      </c>
      <c r="D39" s="9">
        <v>800</v>
      </c>
    </row>
    <row r="40" spans="2:4" x14ac:dyDescent="0.25">
      <c r="B40" s="4" t="s">
        <v>0</v>
      </c>
      <c r="C40" s="4" t="s">
        <v>13</v>
      </c>
      <c r="D40" s="9">
        <v>800</v>
      </c>
    </row>
    <row r="41" spans="2:4" x14ac:dyDescent="0.25">
      <c r="B41" s="4" t="s">
        <v>0</v>
      </c>
      <c r="C41" s="4" t="s">
        <v>14</v>
      </c>
      <c r="D41" s="9">
        <v>800</v>
      </c>
    </row>
    <row r="42" spans="2:4" x14ac:dyDescent="0.25">
      <c r="B42" s="4" t="s">
        <v>0</v>
      </c>
      <c r="C42" s="4" t="s">
        <v>15</v>
      </c>
      <c r="D42" s="9">
        <v>1500</v>
      </c>
    </row>
    <row r="43" spans="2:4" ht="17.399999999999999" x14ac:dyDescent="0.3">
      <c r="B43" s="10" t="s">
        <v>0</v>
      </c>
      <c r="C43" s="10" t="s">
        <v>16</v>
      </c>
      <c r="D43" s="11">
        <v>500</v>
      </c>
    </row>
    <row r="44" spans="2:4" x14ac:dyDescent="0.25">
      <c r="B44" s="4" t="s">
        <v>0</v>
      </c>
      <c r="C44" s="4" t="s">
        <v>17</v>
      </c>
      <c r="D44" s="9">
        <v>125</v>
      </c>
    </row>
    <row r="45" spans="2:4" x14ac:dyDescent="0.25">
      <c r="B45" s="4" t="s">
        <v>0</v>
      </c>
      <c r="C45" s="4" t="s">
        <v>18</v>
      </c>
      <c r="D45" s="9">
        <v>25</v>
      </c>
    </row>
    <row r="46" spans="2:4" x14ac:dyDescent="0.25">
      <c r="B46" s="4" t="s">
        <v>0</v>
      </c>
      <c r="C46" s="4" t="s">
        <v>19</v>
      </c>
      <c r="D46" s="9">
        <v>15</v>
      </c>
    </row>
    <row r="47" spans="2:4" x14ac:dyDescent="0.25">
      <c r="B47" s="4" t="s">
        <v>0</v>
      </c>
      <c r="C47" s="4" t="s">
        <v>20</v>
      </c>
      <c r="D47" s="9">
        <v>45</v>
      </c>
    </row>
    <row r="48" spans="2:4" x14ac:dyDescent="0.25">
      <c r="B48" s="4" t="s">
        <v>0</v>
      </c>
      <c r="C48" s="4" t="s">
        <v>21</v>
      </c>
      <c r="D48" s="9">
        <v>50</v>
      </c>
    </row>
    <row r="49" spans="2:4" x14ac:dyDescent="0.25">
      <c r="B49" s="4" t="s">
        <v>0</v>
      </c>
      <c r="C49" s="4" t="s">
        <v>22</v>
      </c>
      <c r="D49" s="9">
        <v>25</v>
      </c>
    </row>
    <row r="50" spans="2:4" x14ac:dyDescent="0.25">
      <c r="B50" s="4" t="s">
        <v>0</v>
      </c>
      <c r="C50" s="4" t="s">
        <v>23</v>
      </c>
      <c r="D50" s="9">
        <v>125</v>
      </c>
    </row>
    <row r="51" spans="2:4" ht="17.399999999999999" x14ac:dyDescent="0.3">
      <c r="B51" s="10" t="s">
        <v>0</v>
      </c>
      <c r="C51" s="10" t="s">
        <v>24</v>
      </c>
      <c r="D51" s="11">
        <v>0</v>
      </c>
    </row>
    <row r="52" spans="2:4" ht="49.95" customHeight="1" x14ac:dyDescent="0.25">
      <c r="B52" s="5"/>
      <c r="C52" s="41" t="s">
        <v>41</v>
      </c>
    </row>
    <row r="53" spans="2:4" ht="17.399999999999999" x14ac:dyDescent="0.3">
      <c r="B53" s="12" t="s">
        <v>2</v>
      </c>
      <c r="C53" s="12" t="s">
        <v>3</v>
      </c>
      <c r="D53" s="13">
        <v>850</v>
      </c>
    </row>
    <row r="54" spans="2:4" ht="17.399999999999999" x14ac:dyDescent="0.3">
      <c r="B54" s="12" t="s">
        <v>2</v>
      </c>
      <c r="C54" s="12" t="s">
        <v>4</v>
      </c>
      <c r="D54" s="13">
        <v>75</v>
      </c>
    </row>
    <row r="55" spans="2:4" ht="17.399999999999999" x14ac:dyDescent="0.3">
      <c r="B55" s="12" t="s">
        <v>2</v>
      </c>
      <c r="C55" s="12" t="s">
        <v>5</v>
      </c>
      <c r="D55" s="13">
        <v>850</v>
      </c>
    </row>
    <row r="56" spans="2:4" ht="17.399999999999999" x14ac:dyDescent="0.3">
      <c r="B56" s="12" t="s">
        <v>2</v>
      </c>
      <c r="C56" s="12" t="s">
        <v>6</v>
      </c>
      <c r="D56" s="13">
        <v>75</v>
      </c>
    </row>
    <row r="57" spans="2:4" ht="17.399999999999999" x14ac:dyDescent="0.3">
      <c r="B57" s="12" t="s">
        <v>2</v>
      </c>
      <c r="C57" s="12" t="s">
        <v>9</v>
      </c>
      <c r="D57" s="13">
        <v>300</v>
      </c>
    </row>
    <row r="58" spans="2:4" ht="17.399999999999999" x14ac:dyDescent="0.3">
      <c r="B58" s="12" t="s">
        <v>2</v>
      </c>
      <c r="C58" s="12" t="s">
        <v>10</v>
      </c>
      <c r="D58" s="13">
        <v>600</v>
      </c>
    </row>
    <row r="59" spans="2:4" ht="17.399999999999999" x14ac:dyDescent="0.3">
      <c r="B59" s="12" t="s">
        <v>2</v>
      </c>
      <c r="C59" s="12" t="s">
        <v>11</v>
      </c>
      <c r="D59" s="13">
        <v>200</v>
      </c>
    </row>
    <row r="60" spans="2:4" x14ac:dyDescent="0.25">
      <c r="B60" s="4" t="s">
        <v>2</v>
      </c>
      <c r="C60" s="4" t="s">
        <v>12</v>
      </c>
      <c r="D60" s="9">
        <v>800</v>
      </c>
    </row>
    <row r="61" spans="2:4" x14ac:dyDescent="0.25">
      <c r="B61" s="4" t="s">
        <v>2</v>
      </c>
      <c r="C61" s="4" t="s">
        <v>13</v>
      </c>
      <c r="D61" s="9">
        <v>800</v>
      </c>
    </row>
    <row r="62" spans="2:4" x14ac:dyDescent="0.25">
      <c r="B62" s="4" t="s">
        <v>2</v>
      </c>
      <c r="C62" s="4" t="s">
        <v>14</v>
      </c>
      <c r="D62" s="9">
        <v>800</v>
      </c>
    </row>
    <row r="63" spans="2:4" x14ac:dyDescent="0.25">
      <c r="B63" s="4" t="s">
        <v>2</v>
      </c>
      <c r="C63" s="4" t="s">
        <v>15</v>
      </c>
      <c r="D63" s="9">
        <v>1500</v>
      </c>
    </row>
    <row r="64" spans="2:4" ht="17.399999999999999" x14ac:dyDescent="0.3">
      <c r="B64" s="12" t="s">
        <v>2</v>
      </c>
      <c r="C64" s="12" t="s">
        <v>16</v>
      </c>
      <c r="D64" s="13">
        <v>500</v>
      </c>
    </row>
    <row r="65" spans="2:4" x14ac:dyDescent="0.25">
      <c r="B65" s="4" t="s">
        <v>2</v>
      </c>
      <c r="C65" s="4" t="s">
        <v>17</v>
      </c>
      <c r="D65" s="9">
        <v>125</v>
      </c>
    </row>
    <row r="66" spans="2:4" x14ac:dyDescent="0.25">
      <c r="B66" s="4" t="s">
        <v>2</v>
      </c>
      <c r="C66" s="4" t="s">
        <v>18</v>
      </c>
      <c r="D66" s="9">
        <v>25</v>
      </c>
    </row>
    <row r="67" spans="2:4" x14ac:dyDescent="0.25">
      <c r="B67" s="4" t="s">
        <v>2</v>
      </c>
      <c r="C67" s="4" t="s">
        <v>19</v>
      </c>
      <c r="D67" s="9">
        <v>15</v>
      </c>
    </row>
    <row r="68" spans="2:4" x14ac:dyDescent="0.25">
      <c r="B68" s="4" t="s">
        <v>2</v>
      </c>
      <c r="C68" s="4" t="s">
        <v>20</v>
      </c>
      <c r="D68" s="9">
        <v>45</v>
      </c>
    </row>
    <row r="69" spans="2:4" x14ac:dyDescent="0.25">
      <c r="B69" s="4" t="s">
        <v>2</v>
      </c>
      <c r="C69" s="4" t="s">
        <v>21</v>
      </c>
      <c r="D69" s="9">
        <v>50</v>
      </c>
    </row>
    <row r="70" spans="2:4" x14ac:dyDescent="0.25">
      <c r="B70" s="4" t="s">
        <v>2</v>
      </c>
      <c r="C70" s="4" t="s">
        <v>22</v>
      </c>
      <c r="D70" s="9">
        <v>25</v>
      </c>
    </row>
    <row r="71" spans="2:4" x14ac:dyDescent="0.25">
      <c r="B71" s="4" t="s">
        <v>2</v>
      </c>
      <c r="C71" s="4" t="s">
        <v>23</v>
      </c>
      <c r="D71" s="9">
        <v>125</v>
      </c>
    </row>
    <row r="72" spans="2:4" ht="17.399999999999999" x14ac:dyDescent="0.3">
      <c r="B72" s="12" t="s">
        <v>2</v>
      </c>
      <c r="C72" s="12" t="s">
        <v>24</v>
      </c>
      <c r="D72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67171"/>
  </sheetPr>
  <dimension ref="A1:G27"/>
  <sheetViews>
    <sheetView showGridLines="0" zoomScale="72" zoomScaleNormal="72" workbookViewId="0">
      <selection activeCell="C3" sqref="C3"/>
    </sheetView>
  </sheetViews>
  <sheetFormatPr defaultColWidth="8.6640625" defaultRowHeight="15" x14ac:dyDescent="0.25"/>
  <cols>
    <col min="1" max="1" width="16.21875" style="18" customWidth="1"/>
    <col min="2" max="2" width="39" style="18" customWidth="1"/>
    <col min="3" max="3" width="15" style="18" customWidth="1"/>
    <col min="4" max="4" width="2" style="18" customWidth="1"/>
    <col min="5" max="5" width="18" style="18" customWidth="1"/>
    <col min="6" max="6" width="24" style="18" customWidth="1"/>
    <col min="7" max="7" width="6.88671875" style="18" customWidth="1"/>
    <col min="8" max="8" width="13.88671875" style="18" customWidth="1"/>
    <col min="9" max="9" width="14.21875" style="18" customWidth="1"/>
    <col min="10" max="10" width="12.44140625" style="18" customWidth="1"/>
    <col min="11" max="11" width="14.21875" style="18" customWidth="1"/>
    <col min="12" max="12" width="11.33203125" style="18" customWidth="1"/>
    <col min="13" max="13" width="4" style="18" customWidth="1"/>
    <col min="14" max="16384" width="8.6640625" style="18"/>
  </cols>
  <sheetData>
    <row r="1" spans="1:7" ht="36" customHeight="1" x14ac:dyDescent="0.25">
      <c r="A1" s="14"/>
      <c r="B1" s="46" t="s">
        <v>30</v>
      </c>
      <c r="C1" s="46"/>
      <c r="D1" s="47"/>
      <c r="E1" s="46"/>
      <c r="F1" s="46"/>
    </row>
    <row r="2" spans="1:7" ht="25.05" customHeight="1" x14ac:dyDescent="0.25">
      <c r="A2" s="14"/>
      <c r="B2" s="26" t="s">
        <v>25</v>
      </c>
      <c r="C2" s="24" t="s">
        <v>2</v>
      </c>
      <c r="D2" s="27"/>
      <c r="E2" s="48" t="s">
        <v>31</v>
      </c>
      <c r="F2" s="49"/>
    </row>
    <row r="3" spans="1:7" ht="31.05" customHeight="1" x14ac:dyDescent="0.25">
      <c r="A3" s="14"/>
      <c r="B3" s="28" t="s">
        <v>42</v>
      </c>
      <c r="C3" s="24">
        <v>2</v>
      </c>
      <c r="D3" s="29">
        <f>SUMIFS(Veri!$D$11:$D$72,Veri!$B$11:$B$72,$C$2,Veri!$C$11:$C$72,Veri!$D$2)</f>
        <v>0</v>
      </c>
      <c r="E3" s="50" cm="1">
        <f t="array" ref="E3">IFERROR((($D$3/$C$3+$D$4)*$C$4+($D$5/$C$5+$D$6)*$C$6+SUM($D$7:$D$12)+SUM($D$15:$D$24))/Veri!$D$8*(1+Veri!$D$9),0)</f>
        <v>146.66666666666666</v>
      </c>
      <c r="F3" s="51"/>
    </row>
    <row r="4" spans="1:7" ht="31.05" customHeight="1" x14ac:dyDescent="0.25">
      <c r="A4" s="14"/>
      <c r="B4" s="26" t="s">
        <v>26</v>
      </c>
      <c r="C4" s="24">
        <v>7</v>
      </c>
      <c r="D4" s="29">
        <f>SUMIFS(Veri!$D$11:$D$72,Veri!$B$11:$B$72,$C$2,Veri!$C$11:$C$72,Veri!$D$3)</f>
        <v>0</v>
      </c>
      <c r="E4" s="51"/>
      <c r="F4" s="51"/>
      <c r="G4" s="23"/>
    </row>
    <row r="5" spans="1:7" ht="25.05" customHeight="1" x14ac:dyDescent="0.25">
      <c r="A5" s="14"/>
      <c r="B5" s="28" t="s">
        <v>43</v>
      </c>
      <c r="C5" s="24">
        <v>2</v>
      </c>
      <c r="D5" s="29">
        <f>SUMIFS(Veri!$D$11:$D$72,Veri!$B$11:$B$72,$C$2,Veri!$C$11:$C$72,Veri!$D$4)</f>
        <v>0</v>
      </c>
      <c r="E5" s="22"/>
      <c r="F5" s="15"/>
    </row>
    <row r="6" spans="1:7" ht="24" customHeight="1" x14ac:dyDescent="0.25">
      <c r="A6" s="14"/>
      <c r="B6" s="26" t="s">
        <v>27</v>
      </c>
      <c r="C6" s="24">
        <v>3</v>
      </c>
      <c r="D6" s="29">
        <f>SUMIFS(Veri!$D$11:$D$72,Veri!$B$11:$B$72,$C$2,Veri!$C$11:$C$72,Veri!$D$5)</f>
        <v>0</v>
      </c>
      <c r="E6" s="54" t="s">
        <v>32</v>
      </c>
      <c r="F6" s="54"/>
      <c r="G6" s="23"/>
    </row>
    <row r="7" spans="1:7" ht="24" customHeight="1" x14ac:dyDescent="0.25">
      <c r="A7" s="14"/>
      <c r="B7" s="30" t="s">
        <v>9</v>
      </c>
      <c r="C7" s="24">
        <v>2</v>
      </c>
      <c r="D7" s="29">
        <f>IFERROR(SUMIFS(Veri!$D$11:$D$72,Veri!$B$11:$B$72,$C$2,Veri!$C$11:$C$72,$B7)/$C7,0)</f>
        <v>150</v>
      </c>
      <c r="E7" s="31" t="s">
        <v>33</v>
      </c>
      <c r="F7" s="32" t="str">
        <f>$C$2</f>
        <v>Lüxe</v>
      </c>
    </row>
    <row r="8" spans="1:7" ht="24" customHeight="1" x14ac:dyDescent="0.25">
      <c r="A8" s="14"/>
      <c r="B8" s="30" t="s">
        <v>10</v>
      </c>
      <c r="C8" s="24">
        <v>2</v>
      </c>
      <c r="D8" s="29">
        <f>IFERROR(SUMIFS(Veri!$D$11:$D$72,Veri!$B$11:$B$72,$C$2,Veri!$C$11:$C$72,$B8)/$C8,0)</f>
        <v>300</v>
      </c>
      <c r="E8" s="33" t="s">
        <v>34</v>
      </c>
      <c r="F8" s="34" t="str">
        <f>$C$4&amp;" gün / "&amp;$C$3&amp;" kişilik oda"</f>
        <v>7 gün / 2 kişilik oda</v>
      </c>
    </row>
    <row r="9" spans="1:7" ht="24" customHeight="1" x14ac:dyDescent="0.25">
      <c r="A9" s="14"/>
      <c r="B9" s="30" t="s">
        <v>11</v>
      </c>
      <c r="C9" s="24">
        <v>2</v>
      </c>
      <c r="D9" s="29">
        <f>IFERROR(SUMIFS(Veri!$D$11:$D$72,Veri!$B$11:$B$72,$C$2,Veri!$C$11:$C$72,$B9)/$C9,0)</f>
        <v>100</v>
      </c>
      <c r="E9" s="31" t="s">
        <v>35</v>
      </c>
      <c r="F9" s="35" t="str">
        <f>$C$6&amp;" gün / "&amp;$C$5&amp;" kişilik oda"</f>
        <v>3 gün / 2 kişilik oda</v>
      </c>
    </row>
    <row r="10" spans="1:7" ht="24" customHeight="1" x14ac:dyDescent="0.25">
      <c r="A10" s="14"/>
      <c r="B10" s="30" t="s">
        <v>12</v>
      </c>
      <c r="C10" s="24">
        <v>0</v>
      </c>
      <c r="D10" s="27">
        <f>IFERROR(SUMIFS(Veri!$D$11:$D$72,Veri!$B$11:$B$72,$C$2,Veri!$C$11:$C$72,$B10)/$C10,0)</f>
        <v>0</v>
      </c>
      <c r="E10" s="36" t="s">
        <v>36</v>
      </c>
      <c r="F10" s="37">
        <f>$C$4+$C$6</f>
        <v>10</v>
      </c>
    </row>
    <row r="11" spans="1:7" ht="24" customHeight="1" x14ac:dyDescent="0.3">
      <c r="A11" s="14"/>
      <c r="B11" s="30" t="s">
        <v>13</v>
      </c>
      <c r="C11" s="24">
        <v>0</v>
      </c>
      <c r="D11" s="27">
        <f>IFERROR(SUMIFS(Veri!$D$11:$D$72,Veri!$B$11:$B$72,$C$2,Veri!$C$11:$C$72,$B11)/$C11,0)</f>
        <v>0</v>
      </c>
      <c r="E11" s="17"/>
      <c r="F11" s="17"/>
    </row>
    <row r="12" spans="1:7" ht="24" customHeight="1" x14ac:dyDescent="0.3">
      <c r="A12" s="14"/>
      <c r="B12" s="30" t="s">
        <v>14</v>
      </c>
      <c r="C12" s="24">
        <v>0</v>
      </c>
      <c r="D12" s="27">
        <f>IFERROR(SUMIFS(Veri!$D$11:$D$72,Veri!$B$11:$B$72,$C$2,Veri!$C$11:$C$72,$B12)/$C12,0)</f>
        <v>0</v>
      </c>
      <c r="E12" s="17"/>
      <c r="F12" s="17"/>
    </row>
    <row r="13" spans="1:7" ht="24" customHeight="1" x14ac:dyDescent="0.3">
      <c r="A13" s="14"/>
      <c r="B13" s="15"/>
      <c r="C13" s="15"/>
      <c r="D13" s="16"/>
      <c r="E13" s="17"/>
      <c r="F13" s="17"/>
    </row>
    <row r="14" spans="1:7" ht="24" customHeight="1" thickBot="1" x14ac:dyDescent="0.35">
      <c r="A14" s="14"/>
      <c r="B14" s="25" t="s">
        <v>28</v>
      </c>
      <c r="C14" s="25" t="s">
        <v>37</v>
      </c>
      <c r="D14" s="16"/>
      <c r="E14" s="17"/>
      <c r="F14" s="17"/>
    </row>
    <row r="15" spans="1:7" ht="25.05" customHeight="1" x14ac:dyDescent="0.25">
      <c r="A15" s="14"/>
      <c r="B15" s="38" t="s">
        <v>15</v>
      </c>
      <c r="C15" s="19" t="s">
        <v>29</v>
      </c>
      <c r="D15" s="16">
        <f>IF($C15="Evet",SUMIFS(Veri!$D$11:$D$72,Veri!$B$11:$B$72,$C$2,Veri!$C$11:$C$72,$B15),0)</f>
        <v>0</v>
      </c>
      <c r="E15" s="15"/>
      <c r="F15" s="15"/>
    </row>
    <row r="16" spans="1:7" ht="25.05" customHeight="1" x14ac:dyDescent="0.25">
      <c r="A16" s="14"/>
      <c r="B16" s="39" t="s">
        <v>16</v>
      </c>
      <c r="C16" s="20" t="s">
        <v>29</v>
      </c>
      <c r="D16" s="16">
        <f>IF($C16="Evet",SUMIFS(Veri!$D$11:$D$72,Veri!$B$11:$B$72,$C$2,Veri!$C$11:$C$72,$B16),0)</f>
        <v>0</v>
      </c>
      <c r="E16" s="15"/>
      <c r="F16" s="15"/>
    </row>
    <row r="17" spans="1:6" ht="25.05" customHeight="1" x14ac:dyDescent="0.25">
      <c r="A17" s="14"/>
      <c r="B17" s="39" t="s">
        <v>17</v>
      </c>
      <c r="C17" s="20" t="s">
        <v>29</v>
      </c>
      <c r="D17" s="16">
        <f>IF($C17="Evet",SUMIFS(Veri!$D$11:$D$72,Veri!$B$11:$B$72,$C$2,Veri!$C$11:$C$72,$B17),0)</f>
        <v>0</v>
      </c>
      <c r="E17" s="15"/>
      <c r="F17" s="15"/>
    </row>
    <row r="18" spans="1:6" ht="25.05" customHeight="1" x14ac:dyDescent="0.25">
      <c r="A18" s="14"/>
      <c r="B18" s="39" t="s">
        <v>18</v>
      </c>
      <c r="C18" s="20" t="s">
        <v>29</v>
      </c>
      <c r="D18" s="16">
        <f>IF($C18="Evet",SUMIFS(Veri!$D$11:$D$72,Veri!$B$11:$B$72,$C$2,Veri!$C$11:$C$72,$B18),0)</f>
        <v>0</v>
      </c>
      <c r="E18" s="15"/>
      <c r="F18" s="15"/>
    </row>
    <row r="19" spans="1:6" ht="25.05" customHeight="1" x14ac:dyDescent="0.25">
      <c r="A19" s="14"/>
      <c r="B19" s="39" t="s">
        <v>19</v>
      </c>
      <c r="C19" s="20" t="s">
        <v>29</v>
      </c>
      <c r="D19" s="16">
        <f>IF($C19="Evet",SUMIFS(Veri!$D$11:$D$72,Veri!$B$11:$B$72,$C$2,Veri!$C$11:$C$72,$B19),0)</f>
        <v>0</v>
      </c>
      <c r="E19" s="15"/>
      <c r="F19" s="15"/>
    </row>
    <row r="20" spans="1:6" ht="25.05" customHeight="1" x14ac:dyDescent="0.25">
      <c r="A20" s="14"/>
      <c r="B20" s="39" t="s">
        <v>20</v>
      </c>
      <c r="C20" s="20" t="s">
        <v>29</v>
      </c>
      <c r="D20" s="16">
        <f>IF($C20="Evet",SUMIFS(Veri!$D$11:$D$72,Veri!$B$11:$B$72,$C$2,Veri!$C$11:$C$72,$B20),0)</f>
        <v>0</v>
      </c>
      <c r="E20" s="15"/>
      <c r="F20" s="15"/>
    </row>
    <row r="21" spans="1:6" ht="25.05" customHeight="1" x14ac:dyDescent="0.25">
      <c r="A21" s="14"/>
      <c r="B21" s="39" t="s">
        <v>21</v>
      </c>
      <c r="C21" s="20" t="s">
        <v>29</v>
      </c>
      <c r="D21" s="16">
        <f>IF($C21="Evet",SUMIFS(Veri!$D$11:$D$72,Veri!$B$11:$B$72,$C$2,Veri!$C$11:$C$72,$B21),0)</f>
        <v>0</v>
      </c>
      <c r="E21" s="15"/>
      <c r="F21" s="15"/>
    </row>
    <row r="22" spans="1:6" ht="25.05" customHeight="1" x14ac:dyDescent="0.25">
      <c r="A22" s="14"/>
      <c r="B22" s="39" t="s">
        <v>22</v>
      </c>
      <c r="C22" s="20" t="s">
        <v>29</v>
      </c>
      <c r="D22" s="16">
        <f>IF($C22="Evet",SUMIFS(Veri!$D$11:$D$72,Veri!$B$11:$B$72,$C$2,Veri!$C$11:$C$72,$B22),0)</f>
        <v>0</v>
      </c>
      <c r="E22" s="15"/>
      <c r="F22" s="15"/>
    </row>
    <row r="23" spans="1:6" ht="25.05" customHeight="1" x14ac:dyDescent="0.25">
      <c r="A23" s="14"/>
      <c r="B23" s="39" t="s">
        <v>23</v>
      </c>
      <c r="C23" s="20" t="s">
        <v>29</v>
      </c>
      <c r="D23" s="16">
        <f>IF($C23="Evet",SUMIFS(Veri!$D$11:$D$72,Veri!$B$11:$B$72,$C$2,Veri!$C$11:$C$72,$B23),0)</f>
        <v>0</v>
      </c>
      <c r="E23" s="15"/>
      <c r="F23" s="15"/>
    </row>
    <row r="24" spans="1:6" ht="25.05" customHeight="1" thickBot="1" x14ac:dyDescent="0.3">
      <c r="A24" s="14"/>
      <c r="B24" s="40" t="s">
        <v>24</v>
      </c>
      <c r="C24" s="21" t="s">
        <v>29</v>
      </c>
      <c r="D24" s="16">
        <f>IF($C24="Evet",SUMIFS(Veri!$D$11:$D$72,Veri!$B$11:$B$72,$C$2,Veri!$C$11:$C$72,$B24),0)</f>
        <v>0</v>
      </c>
      <c r="E24" s="15"/>
      <c r="F24" s="15"/>
    </row>
    <row r="25" spans="1:6" x14ac:dyDescent="0.25">
      <c r="A25" s="14"/>
      <c r="B25" s="15"/>
      <c r="C25" s="15"/>
      <c r="D25" s="16"/>
      <c r="E25" s="15"/>
      <c r="F25" s="15"/>
    </row>
    <row r="26" spans="1:6" ht="25.05" customHeight="1" x14ac:dyDescent="0.25">
      <c r="A26" s="14"/>
      <c r="B26" s="52" t="s">
        <v>38</v>
      </c>
      <c r="C26" s="52"/>
      <c r="D26" s="53"/>
      <c r="E26" s="52"/>
      <c r="F26" s="52"/>
    </row>
    <row r="27" spans="1:6" ht="25.05" customHeight="1" x14ac:dyDescent="0.25">
      <c r="A27" s="14"/>
      <c r="B27" s="52"/>
      <c r="C27" s="52"/>
      <c r="D27" s="53"/>
      <c r="E27" s="52"/>
      <c r="F27" s="52"/>
    </row>
  </sheetData>
  <sheetProtection algorithmName="SHA-512" hashValue="HwCWXVKCxuaf78Utc3tWWFP1798tNI7BRact3lJnYrYnGwVPHpp9rP2h6YmlXp77Pi+uv2mWy+ebcKOkLm1gAg==" saltValue="yfnZcTebY9oM3wwVGplQJw==" spinCount="100000" sheet="1" objects="1" scenarios="1"/>
  <mergeCells count="5">
    <mergeCell ref="B1:F1"/>
    <mergeCell ref="E2:F2"/>
    <mergeCell ref="E3:F4"/>
    <mergeCell ref="B26:F27"/>
    <mergeCell ref="E6:F6"/>
  </mergeCells>
  <dataValidations count="7">
    <dataValidation type="list" allowBlank="1" showInputMessage="1" showErrorMessage="1" sqref="C7:C9" xr:uid="{00000000-0002-0000-0100-000000000000}">
      <formula1>"0,1,2,3,4"</formula1>
      <formula2>0</formula2>
    </dataValidation>
    <dataValidation type="list" allowBlank="1" showInputMessage="1" showErrorMessage="1" sqref="C2" xr:uid="{00000000-0002-0000-0100-000001000000}">
      <formula1>"Ekonomik,Standart,Lüxe"</formula1>
      <formula2>0</formula2>
    </dataValidation>
    <dataValidation type="list" allowBlank="1" showInputMessage="1" showErrorMessage="1" sqref="C15:C24" xr:uid="{00000000-0002-0000-0100-000002000000}">
      <formula1>"Evet,Hayır"</formula1>
      <formula2>0</formula2>
    </dataValidation>
    <dataValidation type="list" allowBlank="1" showInputMessage="1" showErrorMessage="1" sqref="C3 C5" xr:uid="{00000000-0002-0000-0100-000003000000}">
      <formula1>"1,2,3,4"</formula1>
      <formula2>0</formula2>
    </dataValidation>
    <dataValidation type="list" allowBlank="1" showInputMessage="1" showErrorMessage="1" sqref="C10:C12" xr:uid="{00000000-0002-0000-0100-000004000000}">
      <formula1>"0,1,2,3,4,5,6,7,8,9,10,11,12,13,14,15,16,17,18,19,20"</formula1>
    </dataValidation>
    <dataValidation type="list" allowBlank="1" showInputMessage="1" showErrorMessage="1" sqref="C4" xr:uid="{00000000-0002-0000-0100-000005000000}">
      <mc:AlternateContent xmlns:x12ac="http://schemas.microsoft.com/office/spreadsheetml/2011/1/ac" xmlns:mc="http://schemas.openxmlformats.org/markup-compatibility/2006">
        <mc:Choice Requires="x12ac">
          <x12ac:list>1,2,3,4,5,6,7,8,9,10,"10,5",11,12,13,14,15,16,17,18,19,20</x12ac:list>
        </mc:Choice>
        <mc:Fallback>
          <formula1>"1,2,3,4,5,6,7,8,9,10,10,5,11,12,13,14,15,16,17,18,19,20"</formula1>
        </mc:Fallback>
      </mc:AlternateContent>
    </dataValidation>
    <dataValidation type="list" allowBlank="1" showInputMessage="1" showErrorMessage="1" sqref="C6" xr:uid="{00000000-0002-0000-0100-000006000000}">
      <formula1>"1,2,3,4,5,6,7,8,9,10,11,12,13,14,15,16,17,18,19,20"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</vt:lpstr>
      <vt:lpstr>Uygulama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Muhammet Hüseyin Akbalık</cp:lastModifiedBy>
  <dcterms:created xsi:type="dcterms:W3CDTF">2026-08-24T13:18:51Z</dcterms:created>
  <dcterms:modified xsi:type="dcterms:W3CDTF">2026-08-24T20:15:08Z</dcterms:modified>
</cp:coreProperties>
</file>